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D RGB Mux Calculator" sheetId="1" r:id="rId3"/>
  </sheets>
  <definedNames/>
  <calcPr/>
</workbook>
</file>

<file path=xl/sharedStrings.xml><?xml version="1.0" encoding="utf-8"?>
<sst xmlns="http://schemas.openxmlformats.org/spreadsheetml/2006/main" count="46" uniqueCount="28">
  <si>
    <t>OSD Mux Calculations</t>
  </si>
  <si>
    <t>External Blanking Calculations</t>
  </si>
  <si>
    <t>OSD Output Voltage:</t>
  </si>
  <si>
    <t>V</t>
  </si>
  <si>
    <t>Blanking Input Voltage (BL)</t>
  </si>
  <si>
    <t>OSD RGB Inline Resistor</t>
  </si>
  <si>
    <t>Ohms</t>
  </si>
  <si>
    <t>R1</t>
  </si>
  <si>
    <t>R1 Blanking</t>
  </si>
  <si>
    <t>Diode Voltage Drop</t>
  </si>
  <si>
    <t xml:space="preserve">R2 Blanking </t>
  </si>
  <si>
    <t>Ext RGB Inline Resistor</t>
  </si>
  <si>
    <t>R2</t>
  </si>
  <si>
    <t>Ext RGB Terminaton Resistor (TV)</t>
  </si>
  <si>
    <t>Output Blanking Voltage</t>
  </si>
  <si>
    <t>Console internal termination Resistor</t>
  </si>
  <si>
    <t>Output Voltage</t>
  </si>
  <si>
    <t>Resultant voltage after diode drop</t>
  </si>
  <si>
    <t>Current</t>
  </si>
  <si>
    <t>A</t>
  </si>
  <si>
    <t>mA</t>
  </si>
  <si>
    <t>R1 + R2</t>
  </si>
  <si>
    <t>Power dissipation</t>
  </si>
  <si>
    <t>W</t>
  </si>
  <si>
    <t>mW</t>
  </si>
  <si>
    <t>https://www.codecogs.com/latex/eqneditor.php</t>
  </si>
  <si>
    <t>V_{{output}} = (V_{{OSD}} - V_{{DiodeDrop}} ) * R_{{2}} / (R_{{1}} + R_{{2}})</t>
  </si>
  <si>
    <t>R_{{2}}  = R_{{RGB Inline}} + (R_{{TermTV}} * R_{{TermConsole}}))/(R_{{TermTV}} + R_{{TermConsole}}))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</si>
</sst>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i/>
      <sz val="11.0"/>
      <color rgb="FF000000"/>
      <name val="Calibri"/>
    </font>
    <font/>
    <font>
      <b/>
      <sz val="11.0"/>
      <color rgb="FFFFFFFF"/>
      <name val="Calibri"/>
    </font>
    <font>
      <b/>
      <sz val="11.0"/>
      <color rgb="FF000000"/>
      <name val="Calibri"/>
    </font>
    <font>
      <i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0" numFmtId="0" xfId="0" applyBorder="1" applyFill="1" applyFont="1"/>
    <xf borderId="0" fillId="0" fontId="2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center" vertical="center"/>
    </xf>
    <xf borderId="1" fillId="3" fontId="3" numFmtId="0" xfId="0" applyBorder="1" applyFill="1" applyFont="1"/>
    <xf borderId="0" fillId="0" fontId="4" numFmtId="0" xfId="0" applyFont="1"/>
    <xf borderId="1" fillId="4" fontId="4" numFmtId="0" xfId="0" applyBorder="1" applyFill="1" applyFont="1"/>
    <xf borderId="0" fillId="0" fontId="5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20</xdr:row>
      <xdr:rowOff>85725</xdr:rowOff>
    </xdr:from>
    <xdr:ext cx="7696200" cy="776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</xdr:row>
      <xdr:rowOff>123825</xdr:rowOff>
    </xdr:from>
    <xdr:ext cx="3286125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11</xdr:row>
      <xdr:rowOff>133350</xdr:rowOff>
    </xdr:from>
    <xdr:ext cx="5095875" cy="1809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6</xdr:row>
      <xdr:rowOff>123825</xdr:rowOff>
    </xdr:from>
    <xdr:ext cx="3324225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14</xdr:row>
      <xdr:rowOff>57150</xdr:rowOff>
    </xdr:from>
    <xdr:ext cx="1495425" cy="6191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17</xdr:row>
      <xdr:rowOff>152400</xdr:rowOff>
    </xdr:from>
    <xdr:ext cx="866775" cy="2952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8.71"/>
    <col customWidth="1" min="5" max="5" width="32.14"/>
    <col customWidth="1" min="6" max="6" width="2.0"/>
    <col customWidth="1" min="7" max="7" width="25.29"/>
    <col customWidth="1" min="8" max="8" width="9.57"/>
    <col customWidth="1" min="9" max="9" width="6.14"/>
    <col customWidth="1" min="10" max="10" width="5.14"/>
    <col customWidth="1" min="11" max="26" width="8.71"/>
  </cols>
  <sheetData>
    <row r="1">
      <c r="A1" s="1" t="s">
        <v>0</v>
      </c>
      <c r="F1" s="2"/>
      <c r="G1" s="1" t="s">
        <v>1</v>
      </c>
    </row>
    <row r="2">
      <c r="A2" t="s">
        <v>2</v>
      </c>
      <c r="B2">
        <v>5.0</v>
      </c>
      <c r="C2" t="s">
        <v>3</v>
      </c>
      <c r="F2" s="2"/>
      <c r="G2" t="s">
        <v>4</v>
      </c>
      <c r="H2">
        <v>5.0</v>
      </c>
      <c r="I2" t="s">
        <v>3</v>
      </c>
    </row>
    <row r="3">
      <c r="A3" t="s">
        <v>5</v>
      </c>
      <c r="B3" s="3">
        <v>3900.0</v>
      </c>
      <c r="C3" t="s">
        <v>6</v>
      </c>
      <c r="D3" s="4" t="s">
        <v>7</v>
      </c>
      <c r="F3" s="2"/>
      <c r="G3" t="s">
        <v>8</v>
      </c>
      <c r="H3">
        <v>10000.0</v>
      </c>
      <c r="I3" t="s">
        <v>6</v>
      </c>
    </row>
    <row r="4">
      <c r="A4" t="s">
        <v>9</v>
      </c>
      <c r="B4" s="3">
        <v>0.0</v>
      </c>
      <c r="C4" t="s">
        <v>3</v>
      </c>
      <c r="F4" s="2"/>
      <c r="G4" t="s">
        <v>10</v>
      </c>
      <c r="H4">
        <v>30000.0</v>
      </c>
      <c r="I4" t="s">
        <v>6</v>
      </c>
    </row>
    <row r="5">
      <c r="A5" t="s">
        <v>11</v>
      </c>
      <c r="B5" s="3">
        <v>570.0</v>
      </c>
      <c r="C5" t="s">
        <v>6</v>
      </c>
      <c r="D5" s="5" t="s">
        <v>12</v>
      </c>
      <c r="F5" s="2"/>
      <c r="G5" t="s">
        <v>9</v>
      </c>
      <c r="H5">
        <v>0.7</v>
      </c>
      <c r="I5" t="s">
        <v>3</v>
      </c>
    </row>
    <row r="6">
      <c r="A6" t="s">
        <v>13</v>
      </c>
      <c r="B6">
        <v>75.0</v>
      </c>
      <c r="C6" t="s">
        <v>6</v>
      </c>
      <c r="F6" s="2"/>
      <c r="G6" t="s">
        <v>14</v>
      </c>
      <c r="H6" s="6">
        <f>H2*H4/(H3+H4)-H5</f>
        <v>3.05</v>
      </c>
      <c r="I6" t="s">
        <v>3</v>
      </c>
    </row>
    <row r="7">
      <c r="A7" t="s">
        <v>15</v>
      </c>
      <c r="B7" s="3">
        <v>75.0</v>
      </c>
      <c r="C7" t="s">
        <v>6</v>
      </c>
      <c r="F7" s="2"/>
    </row>
    <row r="8">
      <c r="F8" s="2"/>
    </row>
    <row r="9">
      <c r="A9" s="7" t="s">
        <v>16</v>
      </c>
      <c r="B9" s="8">
        <f>(B2-B4)*((B5+IF(B7=0,B6,(B6*B7)/(B6+B7)))/(B3+B5+IF(B7=0,B6,(B6*B7)/(B6+B7))))</f>
        <v>0.6738768719</v>
      </c>
      <c r="C9" t="s">
        <v>3</v>
      </c>
      <c r="D9" s="9">
        <f>(B2-B4)</f>
        <v>5</v>
      </c>
      <c r="E9" s="9" t="s">
        <v>17</v>
      </c>
      <c r="F9" s="2"/>
    </row>
    <row r="10">
      <c r="D10" s="9">
        <f>((B5+IF(B7=0,B6,(B6*B7)/(B6+B7))))</f>
        <v>607.5</v>
      </c>
      <c r="E10" s="9" t="s">
        <v>12</v>
      </c>
      <c r="F10" s="2"/>
      <c r="G10" s="1" t="s">
        <v>18</v>
      </c>
      <c r="H10" s="1">
        <f>H2/(H3+H4)</f>
        <v>0.000125</v>
      </c>
      <c r="I10" s="1" t="s">
        <v>19</v>
      </c>
      <c r="J10" s="10">
        <f t="shared" ref="J10:J11" si="1">H10*1000</f>
        <v>0.125</v>
      </c>
      <c r="K10" s="1" t="s">
        <v>20</v>
      </c>
    </row>
    <row r="11">
      <c r="D11" s="9">
        <f>(B3+B5+IF(B7=0,B6,(B6*B7)/(B6+B7)))</f>
        <v>4507.5</v>
      </c>
      <c r="E11" s="9" t="s">
        <v>21</v>
      </c>
      <c r="F11" s="2"/>
      <c r="G11" s="1" t="s">
        <v>22</v>
      </c>
      <c r="H11" s="1">
        <f>H10*H2</f>
        <v>0.000625</v>
      </c>
      <c r="I11" s="1" t="s">
        <v>23</v>
      </c>
      <c r="J11" s="10">
        <f t="shared" si="1"/>
        <v>0.625</v>
      </c>
      <c r="K11" s="1" t="s">
        <v>24</v>
      </c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A18" s="1" t="s">
        <v>18</v>
      </c>
      <c r="B18" s="1">
        <f>D9/D11</f>
        <v>0.001109262341</v>
      </c>
      <c r="C18" s="1" t="s">
        <v>19</v>
      </c>
      <c r="D18" s="10">
        <f t="shared" ref="D18:D19" si="2">B18*1000</f>
        <v>1.109262341</v>
      </c>
      <c r="E18" s="1" t="s">
        <v>20</v>
      </c>
      <c r="F18" s="2"/>
    </row>
    <row r="19">
      <c r="A19" s="1" t="s">
        <v>22</v>
      </c>
      <c r="B19" s="1">
        <f>B18*D9</f>
        <v>0.005546311703</v>
      </c>
      <c r="C19" s="1" t="s">
        <v>23</v>
      </c>
      <c r="D19" s="10">
        <f t="shared" si="2"/>
        <v>5.546311703</v>
      </c>
      <c r="E19" s="1" t="s">
        <v>24</v>
      </c>
      <c r="F19" s="2"/>
    </row>
    <row r="20">
      <c r="F20" s="2"/>
    </row>
    <row r="78">
      <c r="A78" t="s">
        <v>25</v>
      </c>
    </row>
    <row r="79">
      <c r="A79" t="s">
        <v>26</v>
      </c>
    </row>
    <row r="80">
      <c r="A80" t="s">
        <v>27</v>
      </c>
    </row>
  </sheetData>
  <mergeCells count="1">
    <mergeCell ref="D5:D7"/>
  </mergeCells>
  <printOptions/>
  <pageMargins bottom="0.75" footer="0.0" header="0.0" left="0.7" right="0.7" top="0.75"/>
  <pageSetup paperSize="9" orientation="portrait"/>
  <drawing r:id="rId1"/>
</worksheet>
</file>